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spect Pipeline" sheetId="1" state="visible" r:id="rId3"/>
    <sheet name="Grant Deadlines" sheetId="2" state="visible" r:id="rId4"/>
    <sheet name="Dashboard" sheetId="3" state="visible" r:id="rId5"/>
  </sheets>
  <definedNames>
    <definedName function="false" hidden="true" localSheetId="0" name="_xlnm._FilterDatabase" vbProcedure="false">'Prospect Pipeline'!$A$1:$V$51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<sst xmlns="http://schemas.openxmlformats.org/spreadsheetml/2006/main" count="154" uniqueCount="119">
  <si>
    <t xml:space="preserve">Company Name</t>
  </si>
  <si>
    <t xml:space="preserve">Industry</t>
  </si>
  <si>
    <t xml:space="preserve">HQ City</t>
  </si>
  <si>
    <t xml:space="preserve">Nearest Campus</t>
  </si>
  <si>
    <t xml:space="preserve">Giving Channel</t>
  </si>
  <si>
    <t xml:space="preserve">Focus Areas</t>
  </si>
  <si>
    <t xml:space="preserve">Contact Name</t>
  </si>
  <si>
    <t xml:space="preserve">Contact Title</t>
  </si>
  <si>
    <t xml:space="preserve">Contact Email</t>
  </si>
  <si>
    <t xml:space="preserve">Contact LinkedIn</t>
  </si>
  <si>
    <t xml:space="preserve">Alignment (1-5)</t>
  </si>
  <si>
    <t xml:space="preserve">Proximity (1-5)</t>
  </si>
  <si>
    <t xml:space="preserve">Capacity (1-5)</t>
  </si>
  <si>
    <t xml:space="preserve">Total Score</t>
  </si>
  <si>
    <t xml:space="preserve">Pipeline Stage</t>
  </si>
  <si>
    <t xml:space="preserve">Last Action</t>
  </si>
  <si>
    <t xml:space="preserve">Last Action Date</t>
  </si>
  <si>
    <t xml:space="preserve">Next Step</t>
  </si>
  <si>
    <t xml:space="preserve">Next Step Date</t>
  </si>
  <si>
    <t xml:space="preserve">Ask Amount</t>
  </si>
  <si>
    <t xml:space="preserve">Amount Received</t>
  </si>
  <si>
    <t xml:space="preserve">Notes</t>
  </si>
  <si>
    <t xml:space="preserve">Apple Inc.</t>
  </si>
  <si>
    <t xml:space="preserve">Technology</t>
  </si>
  <si>
    <t xml:space="preserve">Cupertino</t>
  </si>
  <si>
    <t xml:space="preserve">De Anza College</t>
  </si>
  <si>
    <t xml:space="preserve">Corporate Foundation</t>
  </si>
  <si>
    <t xml:space="preserve">Education, Community, Environment</t>
  </si>
  <si>
    <t xml:space="preserve">Community Affairs</t>
  </si>
  <si>
    <t xml:space="preserve">1-Research</t>
  </si>
  <si>
    <t xml:space="preserve">Research Apple Community Grant Program</t>
  </si>
  <si>
    <t xml:space="preserve">Apple has strong community giving in Cupertino area</t>
  </si>
  <si>
    <t xml:space="preserve">Google / Alphabet</t>
  </si>
  <si>
    <t xml:space="preserve">Mountain View</t>
  </si>
  <si>
    <t xml:space="preserve">Foothill College</t>
  </si>
  <si>
    <t xml:space="preserve">Education, Food Security, Racial Equity</t>
  </si>
  <si>
    <t xml:space="preserve">Google.org Program Manager</t>
  </si>
  <si>
    <t xml:space="preserve">Check Google.org grant cycles</t>
  </si>
  <si>
    <t xml:space="preserve">Google.org Impact Challenge may be relevant</t>
  </si>
  <si>
    <t xml:space="preserve">Intuit</t>
  </si>
  <si>
    <t xml:space="preserve">Financial Empowerment, Education, Food Security</t>
  </si>
  <si>
    <t xml:space="preserve">Community Investment Manager</t>
  </si>
  <si>
    <t xml:space="preserve">Review Intuit Foundation focus areas</t>
  </si>
  <si>
    <t xml:space="preserve">Intuit has strong Bay Area community focus</t>
  </si>
  <si>
    <t xml:space="preserve">Cisco Systems</t>
  </si>
  <si>
    <t xml:space="preserve">San Jose</t>
  </si>
  <si>
    <t xml:space="preserve">Education, Basic Needs, Community</t>
  </si>
  <si>
    <t xml:space="preserve">Cisco Foundation Director</t>
  </si>
  <si>
    <t xml:space="preserve">Research Cisco Foundation grants</t>
  </si>
  <si>
    <t xml:space="preserve">Cisco Foundation very active in Silicon Valley</t>
  </si>
  <si>
    <t xml:space="preserve">Salesforce</t>
  </si>
  <si>
    <t xml:space="preserve">San Francisco</t>
  </si>
  <si>
    <t xml:space="preserve">All Campuses</t>
  </si>
  <si>
    <t xml:space="preserve">Multiple</t>
  </si>
  <si>
    <t xml:space="preserve">Education, Workforce Development, Community</t>
  </si>
  <si>
    <t xml:space="preserve">Community Impact Manager</t>
  </si>
  <si>
    <t xml:space="preserve">Check Salesforce community grants</t>
  </si>
  <si>
    <t xml:space="preserve">1-1-1 model: 1% equity, time, product to community</t>
  </si>
  <si>
    <t xml:space="preserve">Kaiser Permanente</t>
  </si>
  <si>
    <t xml:space="preserve">Healthcare</t>
  </si>
  <si>
    <t xml:space="preserve">Oakland</t>
  </si>
  <si>
    <t xml:space="preserve">Chabot College</t>
  </si>
  <si>
    <t xml:space="preserve">Health, Food Security, Community Health</t>
  </si>
  <si>
    <t xml:space="preserve">Community Benefit Manager</t>
  </si>
  <si>
    <t xml:space="preserve">Review KP Community Benefit grants</t>
  </si>
  <si>
    <t xml:space="preserve">KP has specific food security/nutrition grants</t>
  </si>
  <si>
    <t xml:space="preserve">Wells Fargo</t>
  </si>
  <si>
    <t xml:space="preserve">Financial Services</t>
  </si>
  <si>
    <t xml:space="preserve">Education, Community Development, Housing</t>
  </si>
  <si>
    <t xml:space="preserve">Regional Foundation Officer</t>
  </si>
  <si>
    <t xml:space="preserve">Check Wells Fargo Foundation open grants</t>
  </si>
  <si>
    <t xml:space="preserve">Large foundation with regional community focus</t>
  </si>
  <si>
    <t xml:space="preserve">Applied Materials</t>
  </si>
  <si>
    <t xml:space="preserve">Santa Clara</t>
  </si>
  <si>
    <t xml:space="preserve">Education, Community, STEM</t>
  </si>
  <si>
    <t xml:space="preserve">Research Applied Materials Foundation</t>
  </si>
  <si>
    <t xml:space="preserve">HQ very close to De Anza campus</t>
  </si>
  <si>
    <t xml:space="preserve">Palo Alto Networks</t>
  </si>
  <si>
    <t xml:space="preserve">CSR Budget</t>
  </si>
  <si>
    <t xml:space="preserve">Community, Education</t>
  </si>
  <si>
    <t xml:space="preserve">CSR Manager</t>
  </si>
  <si>
    <t xml:space="preserve">Research community giving program</t>
  </si>
  <si>
    <t xml:space="preserve">Growing company with community programs</t>
  </si>
  <si>
    <t xml:space="preserve">Clorox Company</t>
  </si>
  <si>
    <t xml:space="preserve">Consumer Goods</t>
  </si>
  <si>
    <t xml:space="preserve">Community Health, Education</t>
  </si>
  <si>
    <t xml:space="preserve">Foundation Program Officer</t>
  </si>
  <si>
    <t xml:space="preserve">Review Clorox Foundation grants</t>
  </si>
  <si>
    <t xml:space="preserve">Strong Oakland/East Bay community ties</t>
  </si>
  <si>
    <t xml:space="preserve">Company / Foundation</t>
  </si>
  <si>
    <t xml:space="preserve">Grant Program Name</t>
  </si>
  <si>
    <t xml:space="preserve">Focus Area</t>
  </si>
  <si>
    <t xml:space="preserve">Application Opens</t>
  </si>
  <si>
    <t xml:space="preserve">Deadline</t>
  </si>
  <si>
    <t xml:space="preserve">Typical Award Range</t>
  </si>
  <si>
    <t xml:space="preserve">Application URL</t>
  </si>
  <si>
    <t xml:space="preserve">Status</t>
  </si>
  <si>
    <t xml:space="preserve">CORPORATE FUNDRAISING DASHBOARD</t>
  </si>
  <si>
    <t xml:space="preserve">Pipeline Summary</t>
  </si>
  <si>
    <t xml:space="preserve">Stage Breakdown</t>
  </si>
  <si>
    <t xml:space="preserve">Total Prospects</t>
  </si>
  <si>
    <t xml:space="preserve">In Active Outreach</t>
  </si>
  <si>
    <t xml:space="preserve">2-Contact Identified</t>
  </si>
  <si>
    <t xml:space="preserve">Proposals Submitted</t>
  </si>
  <si>
    <t xml:space="preserve">3-Outreach Sent</t>
  </si>
  <si>
    <t xml:space="preserve">Funded</t>
  </si>
  <si>
    <t xml:space="preserve">4-Meeting Scheduled</t>
  </si>
  <si>
    <t xml:space="preserve">Total Ask Amount</t>
  </si>
  <si>
    <t xml:space="preserve">5-Meeting Complete</t>
  </si>
  <si>
    <t xml:space="preserve">Total Received</t>
  </si>
  <si>
    <t xml:space="preserve">6-Proposal Submitted</t>
  </si>
  <si>
    <t xml:space="preserve">7-Decision Pending</t>
  </si>
  <si>
    <t xml:space="preserve">8-Funded!</t>
  </si>
  <si>
    <t xml:space="preserve">9-Declined</t>
  </si>
  <si>
    <t xml:space="preserve">Instructions:</t>
  </si>
  <si>
    <t xml:space="preserve">1. Add prospects in the 'Prospect Pipeline' tab</t>
  </si>
  <si>
    <t xml:space="preserve">2. Track grant deadlines in the 'Grant Deadlines' tab</t>
  </si>
  <si>
    <t xml:space="preserve">3. Update Pipeline Stages as you progress with each prospect</t>
  </si>
  <si>
    <t xml:space="preserve">4. This dashboard auto-updates from your pipeline data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</si>
</sst>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mm/dd/yyyy"/>
    <numFmt numFmtId="167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2E75B6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b val="true"/>
      <sz val="11"/>
      <color rgb="FF2E75B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6E4F0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E75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10" min="9" style="0" width="24"/>
    <col collapsed="false" customWidth="true" hidden="false" outlineLevel="0" max="13" min="11" style="0" width="14"/>
    <col collapsed="false" customWidth="true" hidden="false" outlineLevel="0" max="14" min="14" style="0" width="12"/>
    <col collapsed="false" customWidth="true" hidden="false" outlineLevel="0" max="15" min="15" style="0" width="16"/>
    <col collapsed="false" customWidth="true" hidden="false" outlineLevel="0" max="16" min="16" style="0" width="18"/>
    <col collapsed="false" customWidth="true" hidden="false" outlineLevel="0" max="17" min="17" style="0" width="14"/>
    <col collapsed="false" customWidth="true" hidden="false" outlineLevel="0" max="18" min="18" style="0" width="22"/>
    <col collapsed="false" customWidth="true" hidden="false" outlineLevel="0" max="21" min="19" style="0" width="14"/>
    <col collapsed="false" customWidth="true" hidden="false" outlineLevel="0" max="22" min="22" style="0" width="30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35.05" hidden="false" customHeight="false" outlineLevel="0" collapsed="false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/>
      <c r="H2" s="2" t="s">
        <v>28</v>
      </c>
      <c r="I2" s="2"/>
      <c r="J2" s="2"/>
      <c r="K2" s="3" t="n">
        <v>5</v>
      </c>
      <c r="L2" s="3" t="n">
        <v>5</v>
      </c>
      <c r="M2" s="3" t="n">
        <v>5</v>
      </c>
      <c r="N2" s="4" t="n">
        <f aca="false">IF(AND(K2&lt;&gt;"",L2&lt;&gt;"",M2&lt;&gt;""),K2+L2+M2,"")</f>
        <v>15</v>
      </c>
      <c r="O2" s="2" t="s">
        <v>29</v>
      </c>
      <c r="P2" s="2"/>
      <c r="Q2" s="5"/>
      <c r="R2" s="2" t="s">
        <v>30</v>
      </c>
      <c r="S2" s="5"/>
      <c r="T2" s="6"/>
      <c r="U2" s="6"/>
      <c r="V2" s="2" t="s">
        <v>31</v>
      </c>
    </row>
    <row r="3" customFormat="false" ht="23.85" hidden="false" customHeight="false" outlineLevel="0" collapsed="false">
      <c r="A3" s="2" t="s">
        <v>32</v>
      </c>
      <c r="B3" s="2" t="s">
        <v>23</v>
      </c>
      <c r="C3" s="2" t="s">
        <v>33</v>
      </c>
      <c r="D3" s="2" t="s">
        <v>34</v>
      </c>
      <c r="E3" s="2" t="s">
        <v>26</v>
      </c>
      <c r="F3" s="2" t="s">
        <v>35</v>
      </c>
      <c r="G3" s="2"/>
      <c r="H3" s="2" t="s">
        <v>36</v>
      </c>
      <c r="I3" s="2"/>
      <c r="J3" s="2"/>
      <c r="K3" s="3" t="n">
        <v>5</v>
      </c>
      <c r="L3" s="3" t="n">
        <v>4</v>
      </c>
      <c r="M3" s="3" t="n">
        <v>5</v>
      </c>
      <c r="N3" s="4" t="n">
        <f aca="false">IF(AND(K3&lt;&gt;"",L3&lt;&gt;"",M3&lt;&gt;""),K3+L3+M3,"")</f>
        <v>14</v>
      </c>
      <c r="O3" s="2" t="s">
        <v>29</v>
      </c>
      <c r="P3" s="2"/>
      <c r="Q3" s="5"/>
      <c r="R3" s="2" t="s">
        <v>37</v>
      </c>
      <c r="S3" s="5"/>
      <c r="T3" s="6"/>
      <c r="U3" s="6"/>
      <c r="V3" s="2" t="s">
        <v>38</v>
      </c>
    </row>
    <row r="4" customFormat="false" ht="23.85" hidden="false" customHeight="false" outlineLevel="0" collapsed="false">
      <c r="A4" s="2" t="s">
        <v>39</v>
      </c>
      <c r="B4" s="2" t="s">
        <v>23</v>
      </c>
      <c r="C4" s="2" t="s">
        <v>33</v>
      </c>
      <c r="D4" s="2" t="s">
        <v>34</v>
      </c>
      <c r="E4" s="2" t="s">
        <v>26</v>
      </c>
      <c r="F4" s="2" t="s">
        <v>40</v>
      </c>
      <c r="G4" s="2"/>
      <c r="H4" s="2" t="s">
        <v>41</v>
      </c>
      <c r="I4" s="2"/>
      <c r="J4" s="2"/>
      <c r="K4" s="3" t="n">
        <v>5</v>
      </c>
      <c r="L4" s="3" t="n">
        <v>4</v>
      </c>
      <c r="M4" s="3" t="n">
        <v>4</v>
      </c>
      <c r="N4" s="4" t="n">
        <f aca="false">IF(AND(K4&lt;&gt;"",L4&lt;&gt;"",M4&lt;&gt;""),K4+L4+M4,"")</f>
        <v>13</v>
      </c>
      <c r="O4" s="2" t="s">
        <v>29</v>
      </c>
      <c r="P4" s="2"/>
      <c r="Q4" s="5"/>
      <c r="R4" s="2" t="s">
        <v>42</v>
      </c>
      <c r="S4" s="5"/>
      <c r="T4" s="6"/>
      <c r="U4" s="6"/>
      <c r="V4" s="2" t="s">
        <v>43</v>
      </c>
    </row>
    <row r="5" customFormat="false" ht="23.85" hidden="false" customHeight="false" outlineLevel="0" collapsed="false">
      <c r="A5" s="2" t="s">
        <v>44</v>
      </c>
      <c r="B5" s="2" t="s">
        <v>23</v>
      </c>
      <c r="C5" s="2" t="s">
        <v>45</v>
      </c>
      <c r="D5" s="2" t="s">
        <v>25</v>
      </c>
      <c r="E5" s="2" t="s">
        <v>26</v>
      </c>
      <c r="F5" s="2" t="s">
        <v>46</v>
      </c>
      <c r="G5" s="2"/>
      <c r="H5" s="2" t="s">
        <v>47</v>
      </c>
      <c r="I5" s="2"/>
      <c r="J5" s="2"/>
      <c r="K5" s="3" t="n">
        <v>4</v>
      </c>
      <c r="L5" s="3" t="n">
        <v>4</v>
      </c>
      <c r="M5" s="3" t="n">
        <v>5</v>
      </c>
      <c r="N5" s="4" t="n">
        <f aca="false">IF(AND(K5&lt;&gt;"",L5&lt;&gt;"",M5&lt;&gt;""),K5+L5+M5,"")</f>
        <v>13</v>
      </c>
      <c r="O5" s="2" t="s">
        <v>29</v>
      </c>
      <c r="P5" s="2"/>
      <c r="Q5" s="5"/>
      <c r="R5" s="2" t="s">
        <v>48</v>
      </c>
      <c r="S5" s="5"/>
      <c r="T5" s="6"/>
      <c r="U5" s="6"/>
      <c r="V5" s="2" t="s">
        <v>49</v>
      </c>
    </row>
    <row r="6" customFormat="false" ht="23.85" hidden="false" customHeight="false" outlineLevel="0" collapsed="false">
      <c r="A6" s="2" t="s">
        <v>50</v>
      </c>
      <c r="B6" s="2" t="s">
        <v>23</v>
      </c>
      <c r="C6" s="2" t="s">
        <v>51</v>
      </c>
      <c r="D6" s="2" t="s">
        <v>52</v>
      </c>
      <c r="E6" s="2" t="s">
        <v>53</v>
      </c>
      <c r="F6" s="2" t="s">
        <v>54</v>
      </c>
      <c r="G6" s="2"/>
      <c r="H6" s="2" t="s">
        <v>55</v>
      </c>
      <c r="I6" s="2"/>
      <c r="J6" s="2"/>
      <c r="K6" s="3" t="n">
        <v>4</v>
      </c>
      <c r="L6" s="3" t="n">
        <v>3</v>
      </c>
      <c r="M6" s="3" t="n">
        <v>5</v>
      </c>
      <c r="N6" s="4" t="n">
        <f aca="false">IF(AND(K6&lt;&gt;"",L6&lt;&gt;"",M6&lt;&gt;""),K6+L6+M6,"")</f>
        <v>12</v>
      </c>
      <c r="O6" s="2" t="s">
        <v>29</v>
      </c>
      <c r="P6" s="2"/>
      <c r="Q6" s="5"/>
      <c r="R6" s="2" t="s">
        <v>56</v>
      </c>
      <c r="S6" s="5"/>
      <c r="T6" s="6"/>
      <c r="U6" s="6"/>
      <c r="V6" s="2" t="s">
        <v>57</v>
      </c>
    </row>
    <row r="7" customFormat="false" ht="23.85" hidden="false" customHeight="false" outlineLevel="0" collapsed="false">
      <c r="A7" s="2" t="s">
        <v>58</v>
      </c>
      <c r="B7" s="2" t="s">
        <v>59</v>
      </c>
      <c r="C7" s="2" t="s">
        <v>60</v>
      </c>
      <c r="D7" s="2" t="s">
        <v>61</v>
      </c>
      <c r="E7" s="2" t="s">
        <v>26</v>
      </c>
      <c r="F7" s="2" t="s">
        <v>62</v>
      </c>
      <c r="G7" s="2"/>
      <c r="H7" s="2" t="s">
        <v>63</v>
      </c>
      <c r="I7" s="2"/>
      <c r="J7" s="2"/>
      <c r="K7" s="3" t="n">
        <v>5</v>
      </c>
      <c r="L7" s="3" t="n">
        <v>5</v>
      </c>
      <c r="M7" s="3" t="n">
        <v>5</v>
      </c>
      <c r="N7" s="4" t="n">
        <f aca="false">IF(AND(K7&lt;&gt;"",L7&lt;&gt;"",M7&lt;&gt;""),K7+L7+M7,"")</f>
        <v>15</v>
      </c>
      <c r="O7" s="2" t="s">
        <v>29</v>
      </c>
      <c r="P7" s="2"/>
      <c r="Q7" s="5"/>
      <c r="R7" s="2" t="s">
        <v>64</v>
      </c>
      <c r="S7" s="5"/>
      <c r="T7" s="6"/>
      <c r="U7" s="6"/>
      <c r="V7" s="2" t="s">
        <v>65</v>
      </c>
    </row>
    <row r="8" customFormat="false" ht="23.85" hidden="false" customHeight="false" outlineLevel="0" collapsed="false">
      <c r="A8" s="2" t="s">
        <v>66</v>
      </c>
      <c r="B8" s="2" t="s">
        <v>67</v>
      </c>
      <c r="C8" s="2" t="s">
        <v>51</v>
      </c>
      <c r="D8" s="2" t="s">
        <v>52</v>
      </c>
      <c r="E8" s="2" t="s">
        <v>26</v>
      </c>
      <c r="F8" s="2" t="s">
        <v>68</v>
      </c>
      <c r="G8" s="2"/>
      <c r="H8" s="2" t="s">
        <v>69</v>
      </c>
      <c r="I8" s="2"/>
      <c r="J8" s="2"/>
      <c r="K8" s="3" t="n">
        <v>4</v>
      </c>
      <c r="L8" s="3" t="n">
        <v>3</v>
      </c>
      <c r="M8" s="3" t="n">
        <v>5</v>
      </c>
      <c r="N8" s="4" t="n">
        <f aca="false">IF(AND(K8&lt;&gt;"",L8&lt;&gt;"",M8&lt;&gt;""),K8+L8+M8,"")</f>
        <v>12</v>
      </c>
      <c r="O8" s="2" t="s">
        <v>29</v>
      </c>
      <c r="P8" s="2"/>
      <c r="Q8" s="5"/>
      <c r="R8" s="2" t="s">
        <v>70</v>
      </c>
      <c r="S8" s="5"/>
      <c r="T8" s="6"/>
      <c r="U8" s="6"/>
      <c r="V8" s="2" t="s">
        <v>71</v>
      </c>
    </row>
    <row r="9" customFormat="false" ht="23.85" hidden="false" customHeight="false" outlineLevel="0" collapsed="false">
      <c r="A9" s="2" t="s">
        <v>72</v>
      </c>
      <c r="B9" s="2" t="s">
        <v>23</v>
      </c>
      <c r="C9" s="2" t="s">
        <v>73</v>
      </c>
      <c r="D9" s="2" t="s">
        <v>25</v>
      </c>
      <c r="E9" s="2" t="s">
        <v>26</v>
      </c>
      <c r="F9" s="2" t="s">
        <v>74</v>
      </c>
      <c r="G9" s="2"/>
      <c r="H9" s="2" t="s">
        <v>28</v>
      </c>
      <c r="I9" s="2"/>
      <c r="J9" s="2"/>
      <c r="K9" s="3" t="n">
        <v>3</v>
      </c>
      <c r="L9" s="3" t="n">
        <v>5</v>
      </c>
      <c r="M9" s="3" t="n">
        <v>4</v>
      </c>
      <c r="N9" s="4" t="n">
        <f aca="false">IF(AND(K9&lt;&gt;"",L9&lt;&gt;"",M9&lt;&gt;""),K9+L9+M9,"")</f>
        <v>12</v>
      </c>
      <c r="O9" s="2" t="s">
        <v>29</v>
      </c>
      <c r="P9" s="2"/>
      <c r="Q9" s="5"/>
      <c r="R9" s="2" t="s">
        <v>75</v>
      </c>
      <c r="S9" s="5"/>
      <c r="T9" s="6"/>
      <c r="U9" s="6"/>
      <c r="V9" s="2" t="s">
        <v>76</v>
      </c>
    </row>
    <row r="10" customFormat="false" ht="23.85" hidden="false" customHeight="false" outlineLevel="0" collapsed="false">
      <c r="A10" s="2" t="s">
        <v>77</v>
      </c>
      <c r="B10" s="2" t="s">
        <v>23</v>
      </c>
      <c r="C10" s="2" t="s">
        <v>73</v>
      </c>
      <c r="D10" s="2" t="s">
        <v>34</v>
      </c>
      <c r="E10" s="2" t="s">
        <v>78</v>
      </c>
      <c r="F10" s="2" t="s">
        <v>79</v>
      </c>
      <c r="G10" s="2"/>
      <c r="H10" s="2" t="s">
        <v>80</v>
      </c>
      <c r="I10" s="2"/>
      <c r="J10" s="2"/>
      <c r="K10" s="3" t="n">
        <v>3</v>
      </c>
      <c r="L10" s="3" t="n">
        <v>4</v>
      </c>
      <c r="M10" s="3" t="n">
        <v>3</v>
      </c>
      <c r="N10" s="4" t="n">
        <f aca="false">IF(AND(K10&lt;&gt;"",L10&lt;&gt;"",M10&lt;&gt;""),K10+L10+M10,"")</f>
        <v>10</v>
      </c>
      <c r="O10" s="2" t="s">
        <v>29</v>
      </c>
      <c r="P10" s="2"/>
      <c r="Q10" s="5"/>
      <c r="R10" s="2" t="s">
        <v>81</v>
      </c>
      <c r="S10" s="5"/>
      <c r="T10" s="6"/>
      <c r="U10" s="6"/>
      <c r="V10" s="2" t="s">
        <v>82</v>
      </c>
    </row>
    <row r="11" customFormat="false" ht="23.85" hidden="false" customHeight="false" outlineLevel="0" collapsed="false">
      <c r="A11" s="2" t="s">
        <v>83</v>
      </c>
      <c r="B11" s="2" t="s">
        <v>84</v>
      </c>
      <c r="C11" s="2" t="s">
        <v>60</v>
      </c>
      <c r="D11" s="2" t="s">
        <v>61</v>
      </c>
      <c r="E11" s="2" t="s">
        <v>26</v>
      </c>
      <c r="F11" s="2" t="s">
        <v>85</v>
      </c>
      <c r="G11" s="2"/>
      <c r="H11" s="2" t="s">
        <v>86</v>
      </c>
      <c r="I11" s="2"/>
      <c r="J11" s="2"/>
      <c r="K11" s="3" t="n">
        <v>3</v>
      </c>
      <c r="L11" s="3" t="n">
        <v>5</v>
      </c>
      <c r="M11" s="3" t="n">
        <v>4</v>
      </c>
      <c r="N11" s="4" t="n">
        <f aca="false">IF(AND(K11&lt;&gt;"",L11&lt;&gt;"",M11&lt;&gt;""),K11+L11+M11,"")</f>
        <v>12</v>
      </c>
      <c r="O11" s="2" t="s">
        <v>29</v>
      </c>
      <c r="P11" s="2"/>
      <c r="Q11" s="5"/>
      <c r="R11" s="2" t="s">
        <v>87</v>
      </c>
      <c r="S11" s="5"/>
      <c r="T11" s="6"/>
      <c r="U11" s="6"/>
      <c r="V11" s="2" t="s">
        <v>88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3"/>
      <c r="L12" s="3"/>
      <c r="M12" s="3"/>
      <c r="N12" s="4" t="str">
        <f aca="false">IF(AND(K12&lt;&gt;"",L12&lt;&gt;"",M12&lt;&gt;""),K12+L12+M12,"")</f>
        <v/>
      </c>
      <c r="O12" s="2"/>
      <c r="P12" s="2"/>
      <c r="Q12" s="5"/>
      <c r="R12" s="2"/>
      <c r="S12" s="5"/>
      <c r="T12" s="6"/>
      <c r="U12" s="6"/>
      <c r="V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3"/>
      <c r="L13" s="3"/>
      <c r="M13" s="3"/>
      <c r="N13" s="4" t="str">
        <f aca="false">IF(AND(K13&lt;&gt;"",L13&lt;&gt;"",M13&lt;&gt;""),K13+L13+M13,"")</f>
        <v/>
      </c>
      <c r="O13" s="2"/>
      <c r="P13" s="2"/>
      <c r="Q13" s="5"/>
      <c r="R13" s="2"/>
      <c r="S13" s="5"/>
      <c r="T13" s="6"/>
      <c r="U13" s="6"/>
      <c r="V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3"/>
      <c r="L14" s="3"/>
      <c r="M14" s="3"/>
      <c r="N14" s="4" t="str">
        <f aca="false">IF(AND(K14&lt;&gt;"",L14&lt;&gt;"",M14&lt;&gt;""),K14+L14+M14,"")</f>
        <v/>
      </c>
      <c r="O14" s="2"/>
      <c r="P14" s="2"/>
      <c r="Q14" s="5"/>
      <c r="R14" s="2"/>
      <c r="S14" s="5"/>
      <c r="T14" s="6"/>
      <c r="U14" s="6"/>
      <c r="V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3"/>
      <c r="L15" s="3"/>
      <c r="M15" s="3"/>
      <c r="N15" s="4" t="str">
        <f aca="false">IF(AND(K15&lt;&gt;"",L15&lt;&gt;"",M15&lt;&gt;""),K15+L15+M15,"")</f>
        <v/>
      </c>
      <c r="O15" s="2"/>
      <c r="P15" s="2"/>
      <c r="Q15" s="5"/>
      <c r="R15" s="2"/>
      <c r="S15" s="5"/>
      <c r="T15" s="6"/>
      <c r="U15" s="6"/>
      <c r="V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3"/>
      <c r="L16" s="3"/>
      <c r="M16" s="3"/>
      <c r="N16" s="4" t="str">
        <f aca="false">IF(AND(K16&lt;&gt;"",L16&lt;&gt;"",M16&lt;&gt;""),K16+L16+M16,"")</f>
        <v/>
      </c>
      <c r="O16" s="2"/>
      <c r="P16" s="2"/>
      <c r="Q16" s="5"/>
      <c r="R16" s="2"/>
      <c r="S16" s="5"/>
      <c r="T16" s="6"/>
      <c r="U16" s="6"/>
      <c r="V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3"/>
      <c r="L17" s="3"/>
      <c r="M17" s="3"/>
      <c r="N17" s="4" t="str">
        <f aca="false">IF(AND(K17&lt;&gt;"",L17&lt;&gt;"",M17&lt;&gt;""),K17+L17+M17,"")</f>
        <v/>
      </c>
      <c r="O17" s="2"/>
      <c r="P17" s="2"/>
      <c r="Q17" s="5"/>
      <c r="R17" s="2"/>
      <c r="S17" s="5"/>
      <c r="T17" s="6"/>
      <c r="U17" s="6"/>
      <c r="V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3"/>
      <c r="L18" s="3"/>
      <c r="M18" s="3"/>
      <c r="N18" s="4" t="str">
        <f aca="false">IF(AND(K18&lt;&gt;"",L18&lt;&gt;"",M18&lt;&gt;""),K18+L18+M18,"")</f>
        <v/>
      </c>
      <c r="O18" s="2"/>
      <c r="P18" s="2"/>
      <c r="Q18" s="5"/>
      <c r="R18" s="2"/>
      <c r="S18" s="5"/>
      <c r="T18" s="6"/>
      <c r="U18" s="6"/>
      <c r="V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3"/>
      <c r="L19" s="3"/>
      <c r="M19" s="3"/>
      <c r="N19" s="4" t="str">
        <f aca="false">IF(AND(K19&lt;&gt;"",L19&lt;&gt;"",M19&lt;&gt;""),K19+L19+M19,"")</f>
        <v/>
      </c>
      <c r="O19" s="2"/>
      <c r="P19" s="2"/>
      <c r="Q19" s="5"/>
      <c r="R19" s="2"/>
      <c r="S19" s="5"/>
      <c r="T19" s="6"/>
      <c r="U19" s="6"/>
      <c r="V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3"/>
      <c r="L20" s="3"/>
      <c r="M20" s="3"/>
      <c r="N20" s="4" t="str">
        <f aca="false">IF(AND(K20&lt;&gt;"",L20&lt;&gt;"",M20&lt;&gt;""),K20+L20+M20,"")</f>
        <v/>
      </c>
      <c r="O20" s="2"/>
      <c r="P20" s="2"/>
      <c r="Q20" s="5"/>
      <c r="R20" s="2"/>
      <c r="S20" s="5"/>
      <c r="T20" s="6"/>
      <c r="U20" s="6"/>
      <c r="V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3"/>
      <c r="L21" s="3"/>
      <c r="M21" s="3"/>
      <c r="N21" s="4" t="str">
        <f aca="false">IF(AND(K21&lt;&gt;"",L21&lt;&gt;"",M21&lt;&gt;""),K21+L21+M21,"")</f>
        <v/>
      </c>
      <c r="O21" s="2"/>
      <c r="P21" s="2"/>
      <c r="Q21" s="5"/>
      <c r="R21" s="2"/>
      <c r="S21" s="5"/>
      <c r="T21" s="6"/>
      <c r="U21" s="6"/>
      <c r="V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3"/>
      <c r="L22" s="3"/>
      <c r="M22" s="3"/>
      <c r="N22" s="4" t="str">
        <f aca="false">IF(AND(K22&lt;&gt;"",L22&lt;&gt;"",M22&lt;&gt;""),K22+L22+M22,"")</f>
        <v/>
      </c>
      <c r="O22" s="2"/>
      <c r="P22" s="2"/>
      <c r="Q22" s="5"/>
      <c r="R22" s="2"/>
      <c r="S22" s="5"/>
      <c r="T22" s="6"/>
      <c r="U22" s="6"/>
      <c r="V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3"/>
      <c r="L23" s="3"/>
      <c r="M23" s="3"/>
      <c r="N23" s="4" t="str">
        <f aca="false">IF(AND(K23&lt;&gt;"",L23&lt;&gt;"",M23&lt;&gt;""),K23+L23+M23,"")</f>
        <v/>
      </c>
      <c r="O23" s="2"/>
      <c r="P23" s="2"/>
      <c r="Q23" s="5"/>
      <c r="R23" s="2"/>
      <c r="S23" s="5"/>
      <c r="T23" s="6"/>
      <c r="U23" s="6"/>
      <c r="V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3"/>
      <c r="L24" s="3"/>
      <c r="M24" s="3"/>
      <c r="N24" s="4" t="str">
        <f aca="false">IF(AND(K24&lt;&gt;"",L24&lt;&gt;"",M24&lt;&gt;""),K24+L24+M24,"")</f>
        <v/>
      </c>
      <c r="O24" s="2"/>
      <c r="P24" s="2"/>
      <c r="Q24" s="5"/>
      <c r="R24" s="2"/>
      <c r="S24" s="5"/>
      <c r="T24" s="6"/>
      <c r="U24" s="6"/>
      <c r="V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  <c r="L25" s="3"/>
      <c r="M25" s="3"/>
      <c r="N25" s="4" t="str">
        <f aca="false">IF(AND(K25&lt;&gt;"",L25&lt;&gt;"",M25&lt;&gt;""),K25+L25+M25,"")</f>
        <v/>
      </c>
      <c r="O25" s="2"/>
      <c r="P25" s="2"/>
      <c r="Q25" s="5"/>
      <c r="R25" s="2"/>
      <c r="S25" s="5"/>
      <c r="T25" s="6"/>
      <c r="U25" s="6"/>
      <c r="V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3"/>
      <c r="M26" s="3"/>
      <c r="N26" s="4" t="str">
        <f aca="false">IF(AND(K26&lt;&gt;"",L26&lt;&gt;"",M26&lt;&gt;""),K26+L26+M26,"")</f>
        <v/>
      </c>
      <c r="O26" s="2"/>
      <c r="P26" s="2"/>
      <c r="Q26" s="5"/>
      <c r="R26" s="2"/>
      <c r="S26" s="5"/>
      <c r="T26" s="6"/>
      <c r="U26" s="6"/>
      <c r="V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  <c r="L27" s="3"/>
      <c r="M27" s="3"/>
      <c r="N27" s="4" t="str">
        <f aca="false">IF(AND(K27&lt;&gt;"",L27&lt;&gt;"",M27&lt;&gt;""),K27+L27+M27,"")</f>
        <v/>
      </c>
      <c r="O27" s="2"/>
      <c r="P27" s="2"/>
      <c r="Q27" s="5"/>
      <c r="R27" s="2"/>
      <c r="S27" s="5"/>
      <c r="T27" s="6"/>
      <c r="U27" s="6"/>
      <c r="V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  <c r="L28" s="3"/>
      <c r="M28" s="3"/>
      <c r="N28" s="4" t="str">
        <f aca="false">IF(AND(K28&lt;&gt;"",L28&lt;&gt;"",M28&lt;&gt;""),K28+L28+M28,"")</f>
        <v/>
      </c>
      <c r="O28" s="2"/>
      <c r="P28" s="2"/>
      <c r="Q28" s="5"/>
      <c r="R28" s="2"/>
      <c r="S28" s="5"/>
      <c r="T28" s="6"/>
      <c r="U28" s="6"/>
      <c r="V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3"/>
      <c r="M29" s="3"/>
      <c r="N29" s="4" t="str">
        <f aca="false">IF(AND(K29&lt;&gt;"",L29&lt;&gt;"",M29&lt;&gt;""),K29+L29+M29,"")</f>
        <v/>
      </c>
      <c r="O29" s="2"/>
      <c r="P29" s="2"/>
      <c r="Q29" s="5"/>
      <c r="R29" s="2"/>
      <c r="S29" s="5"/>
      <c r="T29" s="6"/>
      <c r="U29" s="6"/>
      <c r="V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  <c r="L30" s="3"/>
      <c r="M30" s="3"/>
      <c r="N30" s="4" t="str">
        <f aca="false">IF(AND(K30&lt;&gt;"",L30&lt;&gt;"",M30&lt;&gt;""),K30+L30+M30,"")</f>
        <v/>
      </c>
      <c r="O30" s="2"/>
      <c r="P30" s="2"/>
      <c r="Q30" s="5"/>
      <c r="R30" s="2"/>
      <c r="S30" s="5"/>
      <c r="T30" s="6"/>
      <c r="U30" s="6"/>
      <c r="V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  <c r="L31" s="3"/>
      <c r="M31" s="3"/>
      <c r="N31" s="4" t="str">
        <f aca="false">IF(AND(K31&lt;&gt;"",L31&lt;&gt;"",M31&lt;&gt;""),K31+L31+M31,"")</f>
        <v/>
      </c>
      <c r="O31" s="2"/>
      <c r="P31" s="2"/>
      <c r="Q31" s="5"/>
      <c r="R31" s="2"/>
      <c r="S31" s="5"/>
      <c r="T31" s="6"/>
      <c r="U31" s="6"/>
      <c r="V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3"/>
      <c r="L32" s="3"/>
      <c r="M32" s="3"/>
      <c r="N32" s="4" t="str">
        <f aca="false">IF(AND(K32&lt;&gt;"",L32&lt;&gt;"",M32&lt;&gt;""),K32+L32+M32,"")</f>
        <v/>
      </c>
      <c r="O32" s="2"/>
      <c r="P32" s="2"/>
      <c r="Q32" s="5"/>
      <c r="R32" s="2"/>
      <c r="S32" s="5"/>
      <c r="T32" s="6"/>
      <c r="U32" s="6"/>
      <c r="V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3"/>
      <c r="L33" s="3"/>
      <c r="M33" s="3"/>
      <c r="N33" s="4" t="str">
        <f aca="false">IF(AND(K33&lt;&gt;"",L33&lt;&gt;"",M33&lt;&gt;""),K33+L33+M33,"")</f>
        <v/>
      </c>
      <c r="O33" s="2"/>
      <c r="P33" s="2"/>
      <c r="Q33" s="5"/>
      <c r="R33" s="2"/>
      <c r="S33" s="5"/>
      <c r="T33" s="6"/>
      <c r="U33" s="6"/>
      <c r="V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3"/>
      <c r="L34" s="3"/>
      <c r="M34" s="3"/>
      <c r="N34" s="4" t="str">
        <f aca="false">IF(AND(K34&lt;&gt;"",L34&lt;&gt;"",M34&lt;&gt;""),K34+L34+M34,"")</f>
        <v/>
      </c>
      <c r="O34" s="2"/>
      <c r="P34" s="2"/>
      <c r="Q34" s="5"/>
      <c r="R34" s="2"/>
      <c r="S34" s="5"/>
      <c r="T34" s="6"/>
      <c r="U34" s="6"/>
      <c r="V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3"/>
      <c r="L35" s="3"/>
      <c r="M35" s="3"/>
      <c r="N35" s="4" t="str">
        <f aca="false">IF(AND(K35&lt;&gt;"",L35&lt;&gt;"",M35&lt;&gt;""),K35+L35+M35,"")</f>
        <v/>
      </c>
      <c r="O35" s="2"/>
      <c r="P35" s="2"/>
      <c r="Q35" s="5"/>
      <c r="R35" s="2"/>
      <c r="S35" s="5"/>
      <c r="T35" s="6"/>
      <c r="U35" s="6"/>
      <c r="V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3"/>
      <c r="L36" s="3"/>
      <c r="M36" s="3"/>
      <c r="N36" s="4" t="str">
        <f aca="false">IF(AND(K36&lt;&gt;"",L36&lt;&gt;"",M36&lt;&gt;""),K36+L36+M36,"")</f>
        <v/>
      </c>
      <c r="O36" s="2"/>
      <c r="P36" s="2"/>
      <c r="Q36" s="5"/>
      <c r="R36" s="2"/>
      <c r="S36" s="5"/>
      <c r="T36" s="6"/>
      <c r="U36" s="6"/>
      <c r="V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3"/>
      <c r="L37" s="3"/>
      <c r="M37" s="3"/>
      <c r="N37" s="4" t="str">
        <f aca="false">IF(AND(K37&lt;&gt;"",L37&lt;&gt;"",M37&lt;&gt;""),K37+L37+M37,"")</f>
        <v/>
      </c>
      <c r="O37" s="2"/>
      <c r="P37" s="2"/>
      <c r="Q37" s="5"/>
      <c r="R37" s="2"/>
      <c r="S37" s="5"/>
      <c r="T37" s="6"/>
      <c r="U37" s="6"/>
      <c r="V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3"/>
      <c r="L38" s="3"/>
      <c r="M38" s="3"/>
      <c r="N38" s="4" t="str">
        <f aca="false">IF(AND(K38&lt;&gt;"",L38&lt;&gt;"",M38&lt;&gt;""),K38+L38+M38,"")</f>
        <v/>
      </c>
      <c r="O38" s="2"/>
      <c r="P38" s="2"/>
      <c r="Q38" s="5"/>
      <c r="R38" s="2"/>
      <c r="S38" s="5"/>
      <c r="T38" s="6"/>
      <c r="U38" s="6"/>
      <c r="V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3"/>
      <c r="L39" s="3"/>
      <c r="M39" s="3"/>
      <c r="N39" s="4" t="str">
        <f aca="false">IF(AND(K39&lt;&gt;"",L39&lt;&gt;"",M39&lt;&gt;""),K39+L39+M39,"")</f>
        <v/>
      </c>
      <c r="O39" s="2"/>
      <c r="P39" s="2"/>
      <c r="Q39" s="5"/>
      <c r="R39" s="2"/>
      <c r="S39" s="5"/>
      <c r="T39" s="6"/>
      <c r="U39" s="6"/>
      <c r="V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3"/>
      <c r="L40" s="3"/>
      <c r="M40" s="3"/>
      <c r="N40" s="4" t="str">
        <f aca="false">IF(AND(K40&lt;&gt;"",L40&lt;&gt;"",M40&lt;&gt;""),K40+L40+M40,"")</f>
        <v/>
      </c>
      <c r="O40" s="2"/>
      <c r="P40" s="2"/>
      <c r="Q40" s="5"/>
      <c r="R40" s="2"/>
      <c r="S40" s="5"/>
      <c r="T40" s="6"/>
      <c r="U40" s="6"/>
      <c r="V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3"/>
      <c r="L41" s="3"/>
      <c r="M41" s="3"/>
      <c r="N41" s="4" t="str">
        <f aca="false">IF(AND(K41&lt;&gt;"",L41&lt;&gt;"",M41&lt;&gt;""),K41+L41+M41,"")</f>
        <v/>
      </c>
      <c r="O41" s="2"/>
      <c r="P41" s="2"/>
      <c r="Q41" s="5"/>
      <c r="R41" s="2"/>
      <c r="S41" s="5"/>
      <c r="T41" s="6"/>
      <c r="U41" s="6"/>
      <c r="V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3"/>
      <c r="L42" s="3"/>
      <c r="M42" s="3"/>
      <c r="N42" s="4" t="str">
        <f aca="false">IF(AND(K42&lt;&gt;"",L42&lt;&gt;"",M42&lt;&gt;""),K42+L42+M42,"")</f>
        <v/>
      </c>
      <c r="O42" s="2"/>
      <c r="P42" s="2"/>
      <c r="Q42" s="5"/>
      <c r="R42" s="2"/>
      <c r="S42" s="5"/>
      <c r="T42" s="6"/>
      <c r="U42" s="6"/>
      <c r="V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3"/>
      <c r="L43" s="3"/>
      <c r="M43" s="3"/>
      <c r="N43" s="4" t="str">
        <f aca="false">IF(AND(K43&lt;&gt;"",L43&lt;&gt;"",M43&lt;&gt;""),K43+L43+M43,"")</f>
        <v/>
      </c>
      <c r="O43" s="2"/>
      <c r="P43" s="2"/>
      <c r="Q43" s="5"/>
      <c r="R43" s="2"/>
      <c r="S43" s="5"/>
      <c r="T43" s="6"/>
      <c r="U43" s="6"/>
      <c r="V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3"/>
      <c r="L44" s="3"/>
      <c r="M44" s="3"/>
      <c r="N44" s="4" t="str">
        <f aca="false">IF(AND(K44&lt;&gt;"",L44&lt;&gt;"",M44&lt;&gt;""),K44+L44+M44,"")</f>
        <v/>
      </c>
      <c r="O44" s="2"/>
      <c r="P44" s="2"/>
      <c r="Q44" s="5"/>
      <c r="R44" s="2"/>
      <c r="S44" s="5"/>
      <c r="T44" s="6"/>
      <c r="U44" s="6"/>
      <c r="V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3"/>
      <c r="L45" s="3"/>
      <c r="M45" s="3"/>
      <c r="N45" s="4" t="str">
        <f aca="false">IF(AND(K45&lt;&gt;"",L45&lt;&gt;"",M45&lt;&gt;""),K45+L45+M45,"")</f>
        <v/>
      </c>
      <c r="O45" s="2"/>
      <c r="P45" s="2"/>
      <c r="Q45" s="5"/>
      <c r="R45" s="2"/>
      <c r="S45" s="5"/>
      <c r="T45" s="6"/>
      <c r="U45" s="6"/>
      <c r="V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3"/>
      <c r="L46" s="3"/>
      <c r="M46" s="3"/>
      <c r="N46" s="4" t="str">
        <f aca="false">IF(AND(K46&lt;&gt;"",L46&lt;&gt;"",M46&lt;&gt;""),K46+L46+M46,"")</f>
        <v/>
      </c>
      <c r="O46" s="2"/>
      <c r="P46" s="2"/>
      <c r="Q46" s="5"/>
      <c r="R46" s="2"/>
      <c r="S46" s="5"/>
      <c r="T46" s="6"/>
      <c r="U46" s="6"/>
      <c r="V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3"/>
      <c r="L47" s="3"/>
      <c r="M47" s="3"/>
      <c r="N47" s="4" t="str">
        <f aca="false">IF(AND(K47&lt;&gt;"",L47&lt;&gt;"",M47&lt;&gt;""),K47+L47+M47,"")</f>
        <v/>
      </c>
      <c r="O47" s="2"/>
      <c r="P47" s="2"/>
      <c r="Q47" s="5"/>
      <c r="R47" s="2"/>
      <c r="S47" s="5"/>
      <c r="T47" s="6"/>
      <c r="U47" s="6"/>
      <c r="V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3"/>
      <c r="L48" s="3"/>
      <c r="M48" s="3"/>
      <c r="N48" s="4" t="str">
        <f aca="false">IF(AND(K48&lt;&gt;"",L48&lt;&gt;"",M48&lt;&gt;""),K48+L48+M48,"")</f>
        <v/>
      </c>
      <c r="O48" s="2"/>
      <c r="P48" s="2"/>
      <c r="Q48" s="5"/>
      <c r="R48" s="2"/>
      <c r="S48" s="5"/>
      <c r="T48" s="6"/>
      <c r="U48" s="6"/>
      <c r="V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3"/>
      <c r="L49" s="3"/>
      <c r="M49" s="3"/>
      <c r="N49" s="4" t="str">
        <f aca="false">IF(AND(K49&lt;&gt;"",L49&lt;&gt;"",M49&lt;&gt;""),K49+L49+M49,"")</f>
        <v/>
      </c>
      <c r="O49" s="2"/>
      <c r="P49" s="2"/>
      <c r="Q49" s="5"/>
      <c r="R49" s="2"/>
      <c r="S49" s="5"/>
      <c r="T49" s="6"/>
      <c r="U49" s="6"/>
      <c r="V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3"/>
      <c r="L50" s="3"/>
      <c r="M50" s="3"/>
      <c r="N50" s="4" t="str">
        <f aca="false">IF(AND(K50&lt;&gt;"",L50&lt;&gt;"",M50&lt;&gt;""),K50+L50+M50,"")</f>
        <v/>
      </c>
      <c r="O50" s="2"/>
      <c r="P50" s="2"/>
      <c r="Q50" s="5"/>
      <c r="R50" s="2"/>
      <c r="S50" s="5"/>
      <c r="T50" s="6"/>
      <c r="U50" s="6"/>
      <c r="V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3"/>
      <c r="L51" s="3"/>
      <c r="M51" s="3"/>
      <c r="N51" s="4" t="str">
        <f aca="false">IF(AND(K51&lt;&gt;"",L51&lt;&gt;"",M51&lt;&gt;""),K51+L51+M51,"")</f>
        <v/>
      </c>
      <c r="O51" s="2"/>
      <c r="P51" s="2"/>
      <c r="Q51" s="5"/>
      <c r="R51" s="2"/>
      <c r="S51" s="5"/>
      <c r="T51" s="6"/>
      <c r="U51" s="6"/>
      <c r="V51" s="2"/>
    </row>
  </sheetData>
  <autoFilter ref="A1:V51"/>
  <conditionalFormatting sqref="N2:N51">
    <cfRule type="cellIs" priority="2" operator="greaterThanOrEqual" aboveAverage="0" equalAverage="0" bottom="0" percent="0" rank="0" text="" dxfId="5">
      <formula>13</formula>
    </cfRule>
    <cfRule type="cellIs" priority="3" operator="between" aboveAverage="0" equalAverage="0" bottom="0" percent="0" rank="0" text="" dxfId="6">
      <formula>9</formula>
      <formula>12</formula>
    </cfRule>
    <cfRule type="cellIs" priority="4" operator="lessThanOrEqual" aboveAverage="0" equalAverage="0" bottom="0" percent="0" rank="0" text="" dxfId="7">
      <formula>8</formula>
    </cfRule>
  </conditionalFormatting>
  <dataValidations count="4">
    <dataValidation allowBlank="false" error="Please select from dropdown" errorStyle="stop" operator="between" showDropDown="false" showErrorMessage="false" showInputMessage="false" sqref="O2:O51" type="list">
      <formula1>"1-Research,2-Contact Identified,3-Outreach Sent,4-Meeting Scheduled,5-Meeting Complete,6-Proposal Submitted,7-Decision Pending,8-Funded!,9-Declined,10-Deferred"</formula1>
      <formula2>0</formula2>
    </dataValidation>
    <dataValidation allowBlank="false" errorStyle="stop" operator="between" showDropDown="false" showErrorMessage="false" showInputMessage="false" sqref="E2:E51" type="list">
      <formula1>"Corporate Foundation,CSR Budget,Employee Matching,In-Kind,Multiple"</formula1>
      <formula2>0</formula2>
    </dataValidation>
    <dataValidation allowBlank="false" errorStyle="stop" operator="between" showDropDown="false" showErrorMessage="false" showInputMessage="false" sqref="D2:D51" type="list">
      <formula1>"De Anza College,Foothill College,Chabot College,All Campuses"</formula1>
      <formula2>0</formula2>
    </dataValidation>
    <dataValidation allowBlank="false" error="Enter a number from 1-5" errorStyle="stop" operator="between" showDropDown="false" showErrorMessage="false" showInputMessage="false" sqref="K2:M51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5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34.5" hidden="false" customHeight="true" outlineLevel="0" collapsed="false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21</v>
      </c>
    </row>
    <row r="2" customFormat="false" ht="15" hidden="false" customHeight="false" outlineLevel="0" collapsed="false">
      <c r="A2" s="2"/>
      <c r="B2" s="2"/>
      <c r="C2" s="2"/>
      <c r="D2" s="5"/>
      <c r="E2" s="5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5"/>
      <c r="E3" s="5"/>
      <c r="F3" s="2"/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5"/>
      <c r="E4" s="5"/>
      <c r="F4" s="2"/>
      <c r="G4" s="2"/>
      <c r="H4" s="2"/>
      <c r="I4" s="2"/>
    </row>
    <row r="5" customFormat="false" ht="15" hidden="false" customHeight="false" outlineLevel="0" collapsed="false">
      <c r="A5" s="2"/>
      <c r="B5" s="2"/>
      <c r="C5" s="2"/>
      <c r="D5" s="5"/>
      <c r="E5" s="5"/>
      <c r="F5" s="2"/>
      <c r="G5" s="2"/>
      <c r="H5" s="2"/>
      <c r="I5" s="2"/>
    </row>
    <row r="6" customFormat="false" ht="15" hidden="false" customHeight="false" outlineLevel="0" collapsed="false">
      <c r="A6" s="2"/>
      <c r="B6" s="2"/>
      <c r="C6" s="2"/>
      <c r="D6" s="5"/>
      <c r="E6" s="5"/>
      <c r="F6" s="2"/>
      <c r="G6" s="2"/>
      <c r="H6" s="2"/>
      <c r="I6" s="2"/>
    </row>
    <row r="7" customFormat="false" ht="15" hidden="false" customHeight="false" outlineLevel="0" collapsed="false">
      <c r="A7" s="2"/>
      <c r="B7" s="2"/>
      <c r="C7" s="2"/>
      <c r="D7" s="5"/>
      <c r="E7" s="5"/>
      <c r="F7" s="2"/>
      <c r="G7" s="2"/>
      <c r="H7" s="2"/>
      <c r="I7" s="2"/>
    </row>
    <row r="8" customFormat="false" ht="15" hidden="false" customHeight="false" outlineLevel="0" collapsed="false">
      <c r="A8" s="2"/>
      <c r="B8" s="2"/>
      <c r="C8" s="2"/>
      <c r="D8" s="5"/>
      <c r="E8" s="5"/>
      <c r="F8" s="2"/>
      <c r="G8" s="2"/>
      <c r="H8" s="2"/>
      <c r="I8" s="2"/>
    </row>
    <row r="9" customFormat="false" ht="15" hidden="false" customHeight="false" outlineLevel="0" collapsed="false">
      <c r="A9" s="2"/>
      <c r="B9" s="2"/>
      <c r="C9" s="2"/>
      <c r="D9" s="5"/>
      <c r="E9" s="5"/>
      <c r="F9" s="2"/>
      <c r="G9" s="2"/>
      <c r="H9" s="2"/>
      <c r="I9" s="2"/>
    </row>
    <row r="10" customFormat="false" ht="15" hidden="false" customHeight="false" outlineLevel="0" collapsed="false">
      <c r="A10" s="2"/>
      <c r="B10" s="2"/>
      <c r="C10" s="2"/>
      <c r="D10" s="5"/>
      <c r="E10" s="5"/>
      <c r="F10" s="2"/>
      <c r="G10" s="2"/>
      <c r="H10" s="2"/>
      <c r="I10" s="2"/>
    </row>
    <row r="11" customFormat="false" ht="15" hidden="false" customHeight="false" outlineLevel="0" collapsed="false">
      <c r="A11" s="2"/>
      <c r="B11" s="2"/>
      <c r="C11" s="2"/>
      <c r="D11" s="5"/>
      <c r="E11" s="5"/>
      <c r="F11" s="2"/>
      <c r="G11" s="2"/>
      <c r="H11" s="2"/>
      <c r="I11" s="2"/>
    </row>
    <row r="12" customFormat="false" ht="15" hidden="false" customHeight="false" outlineLevel="0" collapsed="false">
      <c r="A12" s="2"/>
      <c r="B12" s="2"/>
      <c r="C12" s="2"/>
      <c r="D12" s="5"/>
      <c r="E12" s="5"/>
      <c r="F12" s="2"/>
      <c r="G12" s="2"/>
      <c r="H12" s="2"/>
      <c r="I12" s="2"/>
    </row>
    <row r="13" customFormat="false" ht="15" hidden="false" customHeight="false" outlineLevel="0" collapsed="false">
      <c r="A13" s="2"/>
      <c r="B13" s="2"/>
      <c r="C13" s="2"/>
      <c r="D13" s="5"/>
      <c r="E13" s="5"/>
      <c r="F13" s="2"/>
      <c r="G13" s="2"/>
      <c r="H13" s="2"/>
      <c r="I13" s="2"/>
    </row>
    <row r="14" customFormat="false" ht="15" hidden="false" customHeight="false" outlineLevel="0" collapsed="false">
      <c r="A14" s="2"/>
      <c r="B14" s="2"/>
      <c r="C14" s="2"/>
      <c r="D14" s="5"/>
      <c r="E14" s="5"/>
      <c r="F14" s="2"/>
      <c r="G14" s="2"/>
      <c r="H14" s="2"/>
      <c r="I14" s="2"/>
    </row>
    <row r="15" customFormat="false" ht="15" hidden="false" customHeight="false" outlineLevel="0" collapsed="false">
      <c r="A15" s="2"/>
      <c r="B15" s="2"/>
      <c r="C15" s="2"/>
      <c r="D15" s="5"/>
      <c r="E15" s="5"/>
      <c r="F15" s="2"/>
      <c r="G15" s="2"/>
      <c r="H15" s="2"/>
      <c r="I15" s="2"/>
    </row>
    <row r="16" customFormat="false" ht="15" hidden="false" customHeight="false" outlineLevel="0" collapsed="false">
      <c r="A16" s="2"/>
      <c r="B16" s="2"/>
      <c r="C16" s="2"/>
      <c r="D16" s="5"/>
      <c r="E16" s="5"/>
      <c r="F16" s="2"/>
      <c r="G16" s="2"/>
      <c r="H16" s="2"/>
      <c r="I16" s="2"/>
    </row>
    <row r="17" customFormat="false" ht="15" hidden="false" customHeight="false" outlineLevel="0" collapsed="false">
      <c r="A17" s="2"/>
      <c r="B17" s="2"/>
      <c r="C17" s="2"/>
      <c r="D17" s="5"/>
      <c r="E17" s="5"/>
      <c r="F17" s="2"/>
      <c r="G17" s="2"/>
      <c r="H17" s="2"/>
      <c r="I17" s="2"/>
    </row>
    <row r="18" customFormat="false" ht="15" hidden="false" customHeight="false" outlineLevel="0" collapsed="false">
      <c r="A18" s="2"/>
      <c r="B18" s="2"/>
      <c r="C18" s="2"/>
      <c r="D18" s="5"/>
      <c r="E18" s="5"/>
      <c r="F18" s="2"/>
      <c r="G18" s="2"/>
      <c r="H18" s="2"/>
      <c r="I18" s="2"/>
    </row>
    <row r="19" customFormat="false" ht="15" hidden="false" customHeight="false" outlineLevel="0" collapsed="false">
      <c r="A19" s="2"/>
      <c r="B19" s="2"/>
      <c r="C19" s="2"/>
      <c r="D19" s="5"/>
      <c r="E19" s="5"/>
      <c r="F19" s="2"/>
      <c r="G19" s="2"/>
      <c r="H19" s="2"/>
      <c r="I19" s="2"/>
    </row>
    <row r="20" customFormat="false" ht="15" hidden="false" customHeight="false" outlineLevel="0" collapsed="false">
      <c r="A20" s="2"/>
      <c r="B20" s="2"/>
      <c r="C20" s="2"/>
      <c r="D20" s="5"/>
      <c r="E20" s="5"/>
      <c r="F20" s="2"/>
      <c r="G20" s="2"/>
      <c r="H20" s="2"/>
      <c r="I20" s="2"/>
    </row>
    <row r="21" customFormat="false" ht="15" hidden="false" customHeight="false" outlineLevel="0" collapsed="false">
      <c r="A21" s="2"/>
      <c r="B21" s="2"/>
      <c r="C21" s="2"/>
      <c r="D21" s="5"/>
      <c r="E21" s="5"/>
      <c r="F21" s="2"/>
      <c r="G21" s="2"/>
      <c r="H21" s="2"/>
      <c r="I21" s="2"/>
    </row>
    <row r="22" customFormat="false" ht="15" hidden="false" customHeight="false" outlineLevel="0" collapsed="false">
      <c r="A22" s="2"/>
      <c r="B22" s="2"/>
      <c r="C22" s="2"/>
      <c r="D22" s="5"/>
      <c r="E22" s="5"/>
      <c r="F22" s="2"/>
      <c r="G22" s="2"/>
      <c r="H22" s="2"/>
      <c r="I22" s="2"/>
    </row>
    <row r="23" customFormat="false" ht="15" hidden="false" customHeight="false" outlineLevel="0" collapsed="false">
      <c r="A23" s="2"/>
      <c r="B23" s="2"/>
      <c r="C23" s="2"/>
      <c r="D23" s="5"/>
      <c r="E23" s="5"/>
      <c r="F23" s="2"/>
      <c r="G23" s="2"/>
      <c r="H23" s="2"/>
      <c r="I23" s="2"/>
    </row>
    <row r="24" customFormat="false" ht="15" hidden="false" customHeight="false" outlineLevel="0" collapsed="false">
      <c r="A24" s="2"/>
      <c r="B24" s="2"/>
      <c r="C24" s="2"/>
      <c r="D24" s="5"/>
      <c r="E24" s="5"/>
      <c r="F24" s="2"/>
      <c r="G24" s="2"/>
      <c r="H24" s="2"/>
      <c r="I24" s="2"/>
    </row>
    <row r="25" customFormat="false" ht="15" hidden="false" customHeight="false" outlineLevel="0" collapsed="false">
      <c r="A25" s="2"/>
      <c r="B25" s="2"/>
      <c r="C25" s="2"/>
      <c r="D25" s="5"/>
      <c r="E25" s="5"/>
      <c r="F25" s="2"/>
      <c r="G25" s="2"/>
      <c r="H25" s="2"/>
      <c r="I25" s="2"/>
    </row>
    <row r="26" customFormat="false" ht="15" hidden="false" customHeight="false" outlineLevel="0" collapsed="false">
      <c r="A26" s="2"/>
      <c r="B26" s="2"/>
      <c r="C26" s="2"/>
      <c r="D26" s="5"/>
      <c r="E26" s="5"/>
      <c r="F26" s="2"/>
      <c r="G26" s="2"/>
      <c r="H26" s="2"/>
      <c r="I26" s="2"/>
    </row>
    <row r="27" customFormat="false" ht="15" hidden="false" customHeight="false" outlineLevel="0" collapsed="false">
      <c r="A27" s="2"/>
      <c r="B27" s="2"/>
      <c r="C27" s="2"/>
      <c r="D27" s="5"/>
      <c r="E27" s="5"/>
      <c r="F27" s="2"/>
      <c r="G27" s="2"/>
      <c r="H27" s="2"/>
      <c r="I27" s="2"/>
    </row>
    <row r="28" customFormat="false" ht="15" hidden="false" customHeight="false" outlineLevel="0" collapsed="false">
      <c r="A28" s="2"/>
      <c r="B28" s="2"/>
      <c r="C28" s="2"/>
      <c r="D28" s="5"/>
      <c r="E28" s="5"/>
      <c r="F28" s="2"/>
      <c r="G28" s="2"/>
      <c r="H28" s="2"/>
      <c r="I28" s="2"/>
    </row>
    <row r="29" customFormat="false" ht="15" hidden="false" customHeight="false" outlineLevel="0" collapsed="false">
      <c r="A29" s="2"/>
      <c r="B29" s="2"/>
      <c r="C29" s="2"/>
      <c r="D29" s="5"/>
      <c r="E29" s="5"/>
      <c r="F29" s="2"/>
      <c r="G29" s="2"/>
      <c r="H29" s="2"/>
      <c r="I29" s="2"/>
    </row>
    <row r="30" customFormat="false" ht="15" hidden="false" customHeight="false" outlineLevel="0" collapsed="false">
      <c r="A30" s="2"/>
      <c r="B30" s="2"/>
      <c r="C30" s="2"/>
      <c r="D30" s="5"/>
      <c r="E30" s="5"/>
      <c r="F30" s="2"/>
      <c r="G30" s="2"/>
      <c r="H30" s="2"/>
      <c r="I30" s="2"/>
    </row>
    <row r="31" customFormat="false" ht="15" hidden="false" customHeight="false" outlineLevel="0" collapsed="false">
      <c r="A31" s="2"/>
      <c r="B31" s="2"/>
      <c r="C31" s="2"/>
      <c r="D31" s="5"/>
      <c r="E31" s="5"/>
      <c r="F31" s="2"/>
      <c r="G31" s="2"/>
      <c r="H31" s="2"/>
      <c r="I31" s="2"/>
    </row>
    <row r="32" customFormat="false" ht="15" hidden="false" customHeight="false" outlineLevel="0" collapsed="false">
      <c r="A32" s="2"/>
      <c r="B32" s="2"/>
      <c r="C32" s="2"/>
      <c r="D32" s="5"/>
      <c r="E32" s="5"/>
      <c r="F32" s="2"/>
      <c r="G32" s="2"/>
      <c r="H32" s="2"/>
      <c r="I32" s="2"/>
    </row>
    <row r="33" customFormat="false" ht="15" hidden="false" customHeight="false" outlineLevel="0" collapsed="false">
      <c r="A33" s="2"/>
      <c r="B33" s="2"/>
      <c r="C33" s="2"/>
      <c r="D33" s="5"/>
      <c r="E33" s="5"/>
      <c r="F33" s="2"/>
      <c r="G33" s="2"/>
      <c r="H33" s="2"/>
      <c r="I33" s="2"/>
    </row>
    <row r="34" customFormat="false" ht="15" hidden="false" customHeight="false" outlineLevel="0" collapsed="false">
      <c r="A34" s="2"/>
      <c r="B34" s="2"/>
      <c r="C34" s="2"/>
      <c r="D34" s="5"/>
      <c r="E34" s="5"/>
      <c r="F34" s="2"/>
      <c r="G34" s="2"/>
      <c r="H34" s="2"/>
      <c r="I34" s="2"/>
    </row>
    <row r="35" customFormat="false" ht="15" hidden="false" customHeight="false" outlineLevel="0" collapsed="false">
      <c r="A35" s="2"/>
      <c r="B35" s="2"/>
      <c r="C35" s="2"/>
      <c r="D35" s="5"/>
      <c r="E35" s="5"/>
      <c r="F35" s="2"/>
      <c r="G35" s="2"/>
      <c r="H35" s="2"/>
      <c r="I35" s="2"/>
    </row>
    <row r="36" customFormat="false" ht="15" hidden="false" customHeight="false" outlineLevel="0" collapsed="false">
      <c r="A36" s="2"/>
      <c r="B36" s="2"/>
      <c r="C36" s="2"/>
      <c r="D36" s="5"/>
      <c r="E36" s="5"/>
      <c r="F36" s="2"/>
      <c r="G36" s="2"/>
      <c r="H36" s="2"/>
      <c r="I36" s="2"/>
    </row>
    <row r="37" customFormat="false" ht="15" hidden="false" customHeight="false" outlineLevel="0" collapsed="false">
      <c r="A37" s="2"/>
      <c r="B37" s="2"/>
      <c r="C37" s="2"/>
      <c r="D37" s="5"/>
      <c r="E37" s="5"/>
      <c r="F37" s="2"/>
      <c r="G37" s="2"/>
      <c r="H37" s="2"/>
      <c r="I37" s="2"/>
    </row>
    <row r="38" customFormat="false" ht="15" hidden="false" customHeight="false" outlineLevel="0" collapsed="false">
      <c r="A38" s="2"/>
      <c r="B38" s="2"/>
      <c r="C38" s="2"/>
      <c r="D38" s="5"/>
      <c r="E38" s="5"/>
      <c r="F38" s="2"/>
      <c r="G38" s="2"/>
      <c r="H38" s="2"/>
      <c r="I38" s="2"/>
    </row>
    <row r="39" customFormat="false" ht="15" hidden="false" customHeight="false" outlineLevel="0" collapsed="false">
      <c r="A39" s="2"/>
      <c r="B39" s="2"/>
      <c r="C39" s="2"/>
      <c r="D39" s="5"/>
      <c r="E39" s="5"/>
      <c r="F39" s="2"/>
      <c r="G39" s="2"/>
      <c r="H39" s="2"/>
      <c r="I39" s="2"/>
    </row>
    <row r="40" customFormat="false" ht="15" hidden="false" customHeight="false" outlineLevel="0" collapsed="false">
      <c r="A40" s="2"/>
      <c r="B40" s="2"/>
      <c r="C40" s="2"/>
      <c r="D40" s="5"/>
      <c r="E40" s="5"/>
      <c r="F40" s="2"/>
      <c r="G40" s="2"/>
      <c r="H40" s="2"/>
      <c r="I40" s="2"/>
    </row>
    <row r="41" customFormat="false" ht="15" hidden="false" customHeight="false" outlineLevel="0" collapsed="false">
      <c r="A41" s="2"/>
      <c r="B41" s="2"/>
      <c r="C41" s="2"/>
      <c r="D41" s="5"/>
      <c r="E41" s="5"/>
      <c r="F41" s="2"/>
      <c r="G41" s="2"/>
      <c r="H41" s="2"/>
      <c r="I41" s="2"/>
    </row>
    <row r="42" customFormat="false" ht="15" hidden="false" customHeight="false" outlineLevel="0" collapsed="false">
      <c r="A42" s="2"/>
      <c r="B42" s="2"/>
      <c r="C42" s="2"/>
      <c r="D42" s="5"/>
      <c r="E42" s="5"/>
      <c r="F42" s="2"/>
      <c r="G42" s="2"/>
      <c r="H42" s="2"/>
      <c r="I42" s="2"/>
    </row>
    <row r="43" customFormat="false" ht="15" hidden="false" customHeight="false" outlineLevel="0" collapsed="false">
      <c r="A43" s="2"/>
      <c r="B43" s="2"/>
      <c r="C43" s="2"/>
      <c r="D43" s="5"/>
      <c r="E43" s="5"/>
      <c r="F43" s="2"/>
      <c r="G43" s="2"/>
      <c r="H43" s="2"/>
      <c r="I43" s="2"/>
    </row>
    <row r="44" customFormat="false" ht="15" hidden="false" customHeight="false" outlineLevel="0" collapsed="false">
      <c r="A44" s="2"/>
      <c r="B44" s="2"/>
      <c r="C44" s="2"/>
      <c r="D44" s="5"/>
      <c r="E44" s="5"/>
      <c r="F44" s="2"/>
      <c r="G44" s="2"/>
      <c r="H44" s="2"/>
      <c r="I44" s="2"/>
    </row>
    <row r="45" customFormat="false" ht="15" hidden="false" customHeight="false" outlineLevel="0" collapsed="false">
      <c r="A45" s="2"/>
      <c r="B45" s="2"/>
      <c r="C45" s="2"/>
      <c r="D45" s="5"/>
      <c r="E45" s="5"/>
      <c r="F45" s="2"/>
      <c r="G45" s="2"/>
      <c r="H45" s="2"/>
      <c r="I45" s="2"/>
    </row>
    <row r="46" customFormat="false" ht="15" hidden="false" customHeight="false" outlineLevel="0" collapsed="false">
      <c r="A46" s="2"/>
      <c r="B46" s="2"/>
      <c r="C46" s="2"/>
      <c r="D46" s="5"/>
      <c r="E46" s="5"/>
      <c r="F46" s="2"/>
      <c r="G46" s="2"/>
      <c r="H46" s="2"/>
      <c r="I46" s="2"/>
    </row>
    <row r="47" customFormat="false" ht="15" hidden="false" customHeight="false" outlineLevel="0" collapsed="false">
      <c r="A47" s="2"/>
      <c r="B47" s="2"/>
      <c r="C47" s="2"/>
      <c r="D47" s="5"/>
      <c r="E47" s="5"/>
      <c r="F47" s="2"/>
      <c r="G47" s="2"/>
      <c r="H47" s="2"/>
      <c r="I47" s="2"/>
    </row>
    <row r="48" customFormat="false" ht="15" hidden="false" customHeight="false" outlineLevel="0" collapsed="false">
      <c r="A48" s="2"/>
      <c r="B48" s="2"/>
      <c r="C48" s="2"/>
      <c r="D48" s="5"/>
      <c r="E48" s="5"/>
      <c r="F48" s="2"/>
      <c r="G48" s="2"/>
      <c r="H48" s="2"/>
      <c r="I48" s="2"/>
    </row>
    <row r="49" customFormat="false" ht="15" hidden="false" customHeight="false" outlineLevel="0" collapsed="false">
      <c r="A49" s="2"/>
      <c r="B49" s="2"/>
      <c r="C49" s="2"/>
      <c r="D49" s="5"/>
      <c r="E49" s="5"/>
      <c r="F49" s="2"/>
      <c r="G49" s="2"/>
      <c r="H49" s="2"/>
      <c r="I49" s="2"/>
    </row>
    <row r="50" customFormat="false" ht="15" hidden="false" customHeight="false" outlineLevel="0" collapsed="false">
      <c r="A50" s="2"/>
      <c r="B50" s="2"/>
      <c r="C50" s="2"/>
      <c r="D50" s="5"/>
      <c r="E50" s="5"/>
      <c r="F50" s="2"/>
      <c r="G50" s="2"/>
      <c r="H50" s="2"/>
      <c r="I50" s="2"/>
    </row>
    <row r="51" customFormat="false" ht="15" hidden="false" customHeight="false" outlineLevel="0" collapsed="false">
      <c r="A51" s="2"/>
      <c r="B51" s="2"/>
      <c r="C51" s="2"/>
      <c r="D51" s="5"/>
      <c r="E51" s="5"/>
      <c r="F51" s="2"/>
      <c r="G51" s="2"/>
      <c r="H51" s="2"/>
      <c r="I51" s="2"/>
    </row>
  </sheetData>
  <dataValidations count="1">
    <dataValidation allowBlank="false" errorStyle="stop" operator="between" showDropDown="false" showErrorMessage="false" showInputMessage="false" sqref="H2:H51" type="list">
      <formula1>"Not Started,In Progress,Submitted,Awarded,Declined,Deferred"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5"/>
    <col collapsed="false" customWidth="true" hidden="false" outlineLevel="0" max="4" min="4" style="0" width="30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7" t="s">
        <v>97</v>
      </c>
      <c r="B1" s="7"/>
      <c r="C1" s="7"/>
      <c r="D1" s="7"/>
      <c r="E1" s="7"/>
    </row>
    <row r="3" customFormat="false" ht="15" hidden="false" customHeight="false" outlineLevel="0" collapsed="false">
      <c r="A3" s="8" t="s">
        <v>98</v>
      </c>
      <c r="B3" s="8"/>
      <c r="D3" s="8" t="s">
        <v>99</v>
      </c>
      <c r="E3" s="8"/>
    </row>
    <row r="4" customFormat="false" ht="19.7" hidden="false" customHeight="false" outlineLevel="0" collapsed="false">
      <c r="A4" s="9" t="s">
        <v>100</v>
      </c>
      <c r="B4" s="10" t="n">
        <f aca="false">COUNTA('Prospect Pipeline'!A2:A51)</f>
        <v>10</v>
      </c>
      <c r="D4" s="11" t="s">
        <v>29</v>
      </c>
      <c r="E4" s="12" t="n">
        <f aca="false">COUNTIF('Prospect Pipeline'!O2:O51,"1-Research")</f>
        <v>10</v>
      </c>
    </row>
    <row r="5" customFormat="false" ht="19.7" hidden="false" customHeight="false" outlineLevel="0" collapsed="false">
      <c r="A5" s="9" t="s">
        <v>101</v>
      </c>
      <c r="B5" s="10" t="n">
        <f aca="false">COUNTIFS('Prospect Pipeline'!O2:O51,"3-Outreach Sent")+COUNTIFS('Prospect Pipeline'!O2:O51,"4-Meeting Scheduled")+COUNTIFS('Prospect Pipeline'!O2:O51,"5-Meeting Complete")</f>
        <v>0</v>
      </c>
      <c r="D5" s="11" t="s">
        <v>102</v>
      </c>
      <c r="E5" s="12" t="n">
        <f aca="false">COUNTIF('Prospect Pipeline'!O2:O51,"2-Contact Identified")</f>
        <v>0</v>
      </c>
    </row>
    <row r="6" customFormat="false" ht="19.7" hidden="false" customHeight="false" outlineLevel="0" collapsed="false">
      <c r="A6" s="9" t="s">
        <v>103</v>
      </c>
      <c r="B6" s="10" t="n">
        <f aca="false">COUNTIF('Prospect Pipeline'!O2:O51,"6-Proposal Submitted")+COUNTIF('Prospect Pipeline'!O2:O51,"7-Decision Pending")</f>
        <v>0</v>
      </c>
      <c r="D6" s="11" t="s">
        <v>104</v>
      </c>
      <c r="E6" s="12" t="n">
        <f aca="false">COUNTIF('Prospect Pipeline'!O2:O51,"3-Outreach Sent")</f>
        <v>0</v>
      </c>
    </row>
    <row r="7" customFormat="false" ht="19.7" hidden="false" customHeight="false" outlineLevel="0" collapsed="false">
      <c r="A7" s="9" t="s">
        <v>105</v>
      </c>
      <c r="B7" s="10" t="n">
        <f aca="false">COUNTIF('Prospect Pipeline'!O2:O51,"8-Funded!")</f>
        <v>0</v>
      </c>
      <c r="D7" s="11" t="s">
        <v>106</v>
      </c>
      <c r="E7" s="12" t="n">
        <f aca="false">COUNTIF('Prospect Pipeline'!O2:O51,"4-Meeting Scheduled")</f>
        <v>0</v>
      </c>
    </row>
    <row r="8" customFormat="false" ht="19.7" hidden="false" customHeight="false" outlineLevel="0" collapsed="false">
      <c r="A8" s="9" t="s">
        <v>107</v>
      </c>
      <c r="B8" s="13" t="n">
        <f aca="false">SUMPRODUCT(('Prospect Pipeline'!T2:T51&lt;&gt;"")*'Prospect Pipeline'!T2:T51)</f>
        <v>0</v>
      </c>
      <c r="D8" s="11" t="s">
        <v>108</v>
      </c>
      <c r="E8" s="12" t="n">
        <f aca="false">COUNTIF('Prospect Pipeline'!O2:O51,"5-Meeting Complete")</f>
        <v>0</v>
      </c>
    </row>
    <row r="9" customFormat="false" ht="19.7" hidden="false" customHeight="false" outlineLevel="0" collapsed="false">
      <c r="A9" s="9" t="s">
        <v>109</v>
      </c>
      <c r="B9" s="13" t="n">
        <f aca="false">SUMPRODUCT(('Prospect Pipeline'!U2:U51&lt;&gt;"")*'Prospect Pipeline'!U2:U51)</f>
        <v>0</v>
      </c>
      <c r="D9" s="11" t="s">
        <v>110</v>
      </c>
      <c r="E9" s="12" t="n">
        <f aca="false">COUNTIF('Prospect Pipeline'!O2:O51,"6-Proposal Submitted")</f>
        <v>0</v>
      </c>
    </row>
    <row r="10" customFormat="false" ht="15" hidden="false" customHeight="false" outlineLevel="0" collapsed="false">
      <c r="D10" s="11" t="s">
        <v>111</v>
      </c>
      <c r="E10" s="12" t="n">
        <f aca="false">COUNTIF('Prospect Pipeline'!O2:O51,"7-Decision Pending")</f>
        <v>0</v>
      </c>
    </row>
    <row r="11" customFormat="false" ht="15" hidden="false" customHeight="false" outlineLevel="0" collapsed="false">
      <c r="D11" s="11" t="s">
        <v>112</v>
      </c>
      <c r="E11" s="12" t="n">
        <f aca="false">COUNTIF('Prospect Pipeline'!O2:O51,"8-Funded!")</f>
        <v>0</v>
      </c>
    </row>
    <row r="12" customFormat="false" ht="15" hidden="false" customHeight="false" outlineLevel="0" collapsed="false">
      <c r="D12" s="11" t="s">
        <v>113</v>
      </c>
      <c r="E12" s="12" t="n">
        <f aca="false">COUNTIF('Prospect Pipeline'!O2:O51,"9-Declined")</f>
        <v>0</v>
      </c>
    </row>
    <row r="15" customFormat="false" ht="15" hidden="false" customHeight="false" outlineLevel="0" collapsed="false">
      <c r="A15" s="14" t="s">
        <v>114</v>
      </c>
    </row>
    <row r="16" customFormat="false" ht="15" hidden="false" customHeight="false" outlineLevel="0" collapsed="false">
      <c r="A16" s="15" t="s">
        <v>115</v>
      </c>
    </row>
    <row r="17" customFormat="false" ht="15" hidden="false" customHeight="false" outlineLevel="0" collapsed="false">
      <c r="A17" s="15" t="s">
        <v>116</v>
      </c>
    </row>
    <row r="18" customFormat="false" ht="15" hidden="false" customHeight="false" outlineLevel="0" collapsed="false">
      <c r="A18" s="15" t="s">
        <v>117</v>
      </c>
    </row>
    <row r="19" customFormat="false" ht="15" hidden="false" customHeight="false" outlineLevel="0" collapsed="false">
      <c r="A19" s="15" t="s">
        <v>118</v>
      </c>
    </row>
  </sheetData>
  <mergeCells count="3">
    <mergeCell ref="A1:E1"/>
    <mergeCell ref="A3:B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2026-02-15T13:23:39Z</dcterms:created>
  <dc:creator>openpyxl</dc:creator>
  <dc:description/>
  <dc:language>en-US</dc:language>
  <cp:lastModifiedBy/>
  <dcterms:modified xsi:type="dcterms:W3CDTF">2026-02-15T13:23:39Z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